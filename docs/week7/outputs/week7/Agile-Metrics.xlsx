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15922ce6d340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caee6914f654ea1"/>
    <x:sheet xmlns:r="http://schemas.openxmlformats.org/officeDocument/2006/relationships" name="Example" sheetId="2" r:id="R385388c7fd794fbe"/>
    <x:sheet xmlns:r="http://schemas.openxmlformats.org/officeDocument/2006/relationships" name="Actual" sheetId="3" r:id="R2d55262b9b884c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&quot;D&quot;0"/>
    <x:numFmt numFmtId="202" formatCode="0.00"/>
    <x:numFmt numFmtId="203" formatCode="yyyy-mm-dd"/>
  </x:numFmts>
  <x:fonts count="5">
    <x:font>
      <x:sz val="11"/>
      <x:name val="Carlito"/>
    </x:font>
    <x:font>
      <x:sz val="11"/>
      <x:color rgb="FF243B33"/>
      <x:name val="Arial"/>
    </x:font>
    <x:font>
      <x:b/>
      <x:sz val="16"/>
      <x:color rgb="FF234F43"/>
      <x:name val="Arial"/>
    </x:font>
    <x:font>
      <x:b/>
      <x:sz val="11"/>
      <x:color rgb="FFFFFFFF"/>
      <x:name val="Arial"/>
    </x:font>
    <x:font>
      <x:b/>
      <x:sz val="11"/>
      <x:color rgb="FF243B3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34F43"/>
      </x:patternFill>
    </x:fill>
    <x:fill>
      <x:patternFill patternType="solid">
        <x:fgColor rgb="FFF6F8F2"/>
      </x:patternFill>
    </x:fill>
    <x:fill>
      <x:patternFill patternType="solid">
        <x:fgColor rgb="FFEDF2EC"/>
      </x:patternFill>
    </x:fill>
    <x:fill>
      <x:patternFill patternType="solid">
        <x:fgColor rgb="FFFFF0C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3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8B442D"/>
      </x:font>
      <x:fill>
        <x:patternFill patternType="solid">
          <x:bgColor rgb="FFFCE7DE"/>
        </x:patternFill>
      </x:fill>
    </x:dxf>
    <x:dxf>
      <x:font>
        <x:color rgb="FF8B442D"/>
      </x:font>
      <x:fill>
        <x:patternFill patternType="solid">
          <x:bgColor rgb="FFFCE7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98d6fef2a34d8a" /><Relationship Type="http://schemas.openxmlformats.org/officeDocument/2006/relationships/theme" Target="/xl/theme/theme1.xml" Id="Ra2e630b5c34b4a1a" /><Relationship Type="http://schemas.openxmlformats.org/officeDocument/2006/relationships/sharedStrings" Target="/xl/sharedStrings.xml" Id="Rf2495dc213fe469b" /><Relationship Type="http://schemas.openxmlformats.org/officeDocument/2006/relationships/worksheet" Target="/xl/worksheets/sheet1.xml" Id="R6caee6914f654ea1" /><Relationship Type="http://schemas.openxmlformats.org/officeDocument/2006/relationships/worksheet" Target="/xl/worksheets/sheet2.xml" Id="R385388c7fd794fbe" /><Relationship Type="http://schemas.openxmlformats.org/officeDocument/2006/relationships/worksheet" Target="/xl/worksheets/sheet3.xml" Id="R2d55262b9b884c4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d40c1b9080b488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Velocity (simulated, SP)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Velocity SP</c:v>
          </c:tx>
          <c:spPr>
            <a:solidFill xmlns:a="http://schemas.openxmlformats.org/drawingml/2006/main">
              <a:srgbClr val="286450"/>
            </a:solidFill>
          </c:spPr>
          <c:cat>
            <c:strRef>
              <c:f>'Summary'!$A$6:$A$7</c:f>
              <c:strCache>
                <c:ptCount val="0"/>
              </c:strCache>
            </c:strRef>
          </c:cat>
          <c:val>
            <c:numRef>
              <c:f>'Summary'!$B$6:$B$7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4</xdr:row>
      <xdr:rowOff>0</xdr:rowOff>
    </xdr:from>
    <xdr:to>
      <xdr:col>15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40c1b9080b488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83c30f1494f4d1b" /></Relationships>
</file>

<file path=xl/worksheets/sheet1.xml><?xml version="1.0" encoding="utf-8"?>
<x:worksheet xmlns:x="http://schemas.openxmlformats.org/spreadsheetml/2006/main">
  <x:sheetPr>
    <x:tabColor rgb="FF234F43"/>
  </x:sheetPr>
  <x:sheetViews>
    <x:sheetView showGridLines="0" workbookViewId="0"/>
  </x:sheetViews>
  <x:sheetFormatPr defaultRowHeight="15"/>
  <x:cols>
    <x:col min="1" max="1" width="16.670000076293945" hidden="0" customWidth="1"/>
    <x:col min="2" max="2" width="10.220000267028809" hidden="0" customWidth="1"/>
    <x:col min="3" max="3" width="10.220000267028809" hidden="0" customWidth="1"/>
    <x:col min="4" max="4" width="10.220000267028809" hidden="0" customWidth="1"/>
    <x:col min="5" max="5" width="10.220000267028809" hidden="0" customWidth="1"/>
    <x:col min="6" max="6" width="10.220000267028809" hidden="0" customWidth="1"/>
    <x:col min="7" max="7" width="10.220000267028809" hidden="0" customWidth="1"/>
    <x:col min="8" max="8" width="10.220000267028809" hidden="0" customWidth="1"/>
    <x:col min="9" max="9" width="10.220000267028809" hidden="0" customWidth="1"/>
    <x:col min="10" max="10" width="10.220000267028809" hidden="0" customWidth="1"/>
    <x:col min="11" max="11" width="10.220000267028809" hidden="0" customWidth="1"/>
    <x:col min="12" max="12" width="10.220000267028809" hidden="0" customWidth="1"/>
    <x:col min="13" max="13" width="10.220000267028809" hidden="0" customWidth="1"/>
    <x:col min="14" max="14" width="10.220000267028809" hidden="0" customWidth="1"/>
    <x:col min="15" max="15" width="10.220000267028809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7" customHeight="1">
      <x:c r="A2" s="3" t="str">
        <x:v>Week 7 — Agile metrics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7" customHeight="1">
      <x:c r="A3" s="2" t="str">
        <x:v>Example results are simulated. Actual results require verified sprint data.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42" customHeight="1">
      <x:c r="A5" s="7" t="str">
        <x:v>Example sprint</x:v>
      </x:c>
      <x:c r="B5" s="7" t="str">
        <x:v>Velocity SP</x:v>
      </x:c>
      <x:c r="C5" s="7" t="str">
        <x:v>Not Done SP</x:v>
      </x:c>
      <x:c r="D5" s="7" t="str">
        <x:v>Avg lead (d)</x:v>
      </x:c>
      <x:c r="E5" s="7" t="str">
        <x:v>Avg cycle (d)</x:v>
      </x:c>
      <x:c r="F5" s="7" t="str">
        <x:v>Flow items</x:v>
      </x:c>
      <x:c r="G5" s="2"/>
      <x:c r="H5" s="2"/>
      <x:c r="I5" s="2"/>
      <x:c r="J5" s="2"/>
      <x:c r="K5" s="2"/>
      <x:c r="L5" s="2"/>
      <x:c r="M5" s="2"/>
      <x:c r="N5" s="2"/>
      <x:c r="O5" s="2"/>
    </x:row>
    <x:row r="6" ht="27" customHeight="1">
      <x:c r="A6" s="2" t="str">
        <x:v>Todo</x:v>
      </x:c>
      <x:c r="B6" s="18" t="n">
        <x:f>IF(COUNTIFS('Example'!$A$7:$A$18,$A6,'Example'!$M$7:$M$18,"&gt;=0")=COUNTIFS('Example'!$A$7:$A$18,$A6),SUMIFS('Example'!$M$7:$M$18,'Example'!$A$7:$A$18,$A6),"n.a.")</x:f>
        <x:v>24</x:v>
      </x:c>
      <x:c r="C6" s="18" t="n">
        <x:f>IF(ISNUMBER(B6),SUMIFS('Example'!$D$7:$D$18,'Example'!$A$7:$A$18,$A6)-B6,"n.a.")</x:f>
        <x:v>0</x:v>
      </x:c>
      <x:c r="D6" s="19" t="n">
        <x:f>IF(AND(F6&gt;0,F6=COUNTIFS('Example'!$A$7:$A$18,$A6,'Example'!$E$7:$E$18,"Done"),ISNUMBER(B6)),AVERAGEIFS('Example'!$N$7:$N$18,'Example'!$A$7:$A$18,$A6),"n.a.")</x:f>
        <x:v>3.2857142857142856</x:v>
      </x:c>
      <x:c r="E6" s="19" t="n">
        <x:f>IF(AND(F6&gt;0,F6=COUNTIFS('Example'!$A$7:$A$18,$A6,'Example'!$E$7:$E$18,"Done"),ISNUMBER(B6)),AVERAGEIFS('Example'!$O$7:$O$18,'Example'!$A$7:$A$18,$A6),"n.a.")</x:f>
        <x:v>1.5714285714285714</x:v>
      </x:c>
      <x:c r="F6" s="2" t="n">
        <x:f>COUNTIFS('Example'!$A$7:$A$18,$A6,'Example'!$N$7:$N$18,"&gt;=0")</x:f>
        <x:v>7</x:v>
      </x:c>
      <x:c r="G6" s="2"/>
      <x:c r="H6" s="2"/>
      <x:c r="I6" s="2"/>
      <x:c r="J6" s="2"/>
      <x:c r="K6" s="2"/>
      <x:c r="L6" s="2"/>
      <x:c r="M6" s="2"/>
      <x:c r="N6" s="2"/>
      <x:c r="O6" s="2"/>
    </x:row>
    <x:row r="7" ht="27" customHeight="1">
      <x:c r="A7" s="2" t="str">
        <x:v>Study</x:v>
      </x:c>
      <x:c r="B7" s="18" t="n">
        <x:f>IF(COUNTIFS('Example'!$A$7:$A$18,$A7,'Example'!$M$7:$M$18,"&gt;=0")=COUNTIFS('Example'!$A$7:$A$18,$A7),SUMIFS('Example'!$M$7:$M$18,'Example'!$A$7:$A$18,$A7),"n.a.")</x:f>
        <x:v>15</x:v>
      </x:c>
      <x:c r="C7" s="18" t="n">
        <x:f>IF(ISNUMBER(B7),SUMIFS('Example'!$D$7:$D$18,'Example'!$A$7:$A$18,$A7)-B7,"n.a.")</x:f>
        <x:v>0</x:v>
      </x:c>
      <x:c r="D7" s="19" t="n">
        <x:f>IF(AND(F7&gt;0,F7=COUNTIFS('Example'!$A$7:$A$18,$A7,'Example'!$E$7:$E$18,"Done"),ISNUMBER(B7)),AVERAGEIFS('Example'!$N$7:$N$18,'Example'!$A$7:$A$18,$A7),"n.a.")</x:f>
        <x:v>3.2</x:v>
      </x:c>
      <x:c r="E7" s="19" t="n">
        <x:f>IF(AND(F7&gt;0,F7=COUNTIFS('Example'!$A$7:$A$18,$A7,'Example'!$E$7:$E$18,"Done"),ISNUMBER(B7)),AVERAGEIFS('Example'!$O$7:$O$18,'Example'!$A$7:$A$18,$A7),"n.a.")</x:f>
        <x:v>1.8</x:v>
      </x:c>
      <x:c r="F7" s="2" t="n">
        <x:f>COUNTIFS('Example'!$A$7:$A$18,$A7,'Example'!$N$7:$N$18,"&gt;=0")</x:f>
        <x:v>5</x:v>
      </x:c>
      <x:c r="G7" s="2"/>
      <x:c r="H7" s="2"/>
      <x:c r="I7" s="2"/>
      <x:c r="J7" s="2"/>
      <x:c r="K7" s="2"/>
      <x:c r="L7" s="2"/>
      <x:c r="M7" s="2"/>
      <x:c r="N7" s="2"/>
      <x:c r="O7" s="2"/>
    </x:row>
    <x:row r="8" ht="27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</x:row>
    <x:row r="9" ht="27" customHeight="1">
      <x:c r="A9" s="2" t="str">
        <x:v>Different project scope and uncalibrated points: do not infer faster/slower performance.</x:v>
      </x:c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</x:row>
    <x:row r="10" ht="27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</x:row>
    <x:row r="11" ht="27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</x:row>
    <x:row r="12" ht="42" customHeight="1">
      <x:c r="A12" s="7" t="str">
        <x:v>Actual sprint</x:v>
      </x:c>
      <x:c r="B12" s="7" t="str">
        <x:v>Velocity SP</x:v>
      </x:c>
      <x:c r="C12" s="7" t="str">
        <x:v>Not Done SP</x:v>
      </x:c>
      <x:c r="D12" s="7" t="str">
        <x:v>Avg lead (d)</x:v>
      </x:c>
      <x:c r="E12" s="7" t="str">
        <x:v>Avg cycle (d)</x:v>
      </x:c>
      <x:c r="F12" s="7" t="str">
        <x:v>Flow items</x:v>
      </x:c>
      <x:c r="G12" s="2"/>
      <x:c r="H12" s="2"/>
      <x:c r="I12" s="2"/>
      <x:c r="J12" s="2"/>
      <x:c r="K12" s="2"/>
      <x:c r="L12" s="2"/>
      <x:c r="M12" s="2"/>
      <x:c r="N12" s="2"/>
      <x:c r="O12" s="2"/>
    </x:row>
    <x:row r="13" ht="27" customHeight="1">
      <x:c r="A13" s="2" t="str">
        <x:v>Todo</x:v>
      </x:c>
      <x:c r="B13" s="2" t="str">
        <x:f>IF(COUNTIFS('Actual'!$A$7:$A$18,$A13,'Actual'!$M$7:$M$18,"&gt;=0")=COUNTIFS('Actual'!$A$7:$A$18,$A13),SUMIFS('Actual'!$M$7:$M$18,'Actual'!$A$7:$A$18,$A13),"n.a.")</x:f>
        <x:v>n.a.</x:v>
      </x:c>
      <x:c r="C13" s="2" t="str">
        <x:f>IF(ISNUMBER(B13),SUMIFS('Actual'!$D$7:$D$18,'Actual'!$A$7:$A$18,$A13)-B13,"n.a.")</x:f>
        <x:v>n.a.</x:v>
      </x:c>
      <x:c r="D13" s="19" t="str">
        <x:f>IF(AND(F13&gt;0,F13=COUNTIFS('Actual'!$A$7:$A$18,$A13,'Actual'!$E$7:$E$18,"Done"),ISNUMBER(B13)),AVERAGEIFS('Actual'!$N$7:$N$18,'Actual'!$A$7:$A$18,$A13),"n.a.")</x:f>
        <x:v>n.a.</x:v>
      </x:c>
      <x:c r="E13" s="19" t="str">
        <x:f>IF(AND(F13&gt;0,F13=COUNTIFS('Actual'!$A$7:$A$18,$A13,'Actual'!$E$7:$E$18,"Done"),ISNUMBER(B13)),AVERAGEIFS('Actual'!$O$7:$O$18,'Actual'!$A$7:$A$18,$A13),"n.a.")</x:f>
        <x:v>n.a.</x:v>
      </x:c>
      <x:c r="F13" s="2" t="n">
        <x:f>COUNTIFS('Actual'!$A$7:$A$18,$A13,'Actual'!$N$7:$N$18,"&gt;=0")</x:f>
        <x:v>0</x:v>
      </x:c>
      <x:c r="G13" s="2"/>
      <x:c r="H13" s="2"/>
      <x:c r="I13" s="2"/>
      <x:c r="J13" s="2"/>
      <x:c r="K13" s="2"/>
      <x:c r="L13" s="2"/>
      <x:c r="M13" s="2"/>
      <x:c r="N13" s="2"/>
      <x:c r="O13" s="2"/>
    </x:row>
    <x:row r="14" ht="27" customHeight="1">
      <x:c r="A14" s="2" t="str">
        <x:v>Study</x:v>
      </x:c>
      <x:c r="B14" s="2" t="str">
        <x:f>IF(COUNTIFS('Actual'!$A$7:$A$18,$A14,'Actual'!$M$7:$M$18,"&gt;=0")=COUNTIFS('Actual'!$A$7:$A$18,$A14),SUMIFS('Actual'!$M$7:$M$18,'Actual'!$A$7:$A$18,$A14),"n.a.")</x:f>
        <x:v>n.a.</x:v>
      </x:c>
      <x:c r="C14" s="2" t="str">
        <x:f>IF(ISNUMBER(B14),SUMIFS('Actual'!$D$7:$D$18,'Actual'!$A$7:$A$18,$A14)-B14,"n.a.")</x:f>
        <x:v>n.a.</x:v>
      </x:c>
      <x:c r="D14" s="19" t="str">
        <x:f>IF(AND(F14&gt;0,F14=COUNTIFS('Actual'!$A$7:$A$18,$A14,'Actual'!$E$7:$E$18,"Done"),ISNUMBER(B14)),AVERAGEIFS('Actual'!$N$7:$N$18,'Actual'!$A$7:$A$18,$A14),"n.a.")</x:f>
        <x:v>n.a.</x:v>
      </x:c>
      <x:c r="E14" s="19" t="str">
        <x:f>IF(AND(F14&gt;0,F14=COUNTIFS('Actual'!$A$7:$A$18,$A14,'Actual'!$E$7:$E$18,"Done"),ISNUMBER(B14)),AVERAGEIFS('Actual'!$O$7:$O$18,'Actual'!$A$7:$A$18,$A14),"n.a.")</x:f>
        <x:v>n.a.</x:v>
      </x:c>
      <x:c r="F14" s="2" t="n">
        <x:f>COUNTIFS('Actual'!$A$7:$A$18,$A14,'Actual'!$N$7:$N$18,"&gt;=0")</x:f>
        <x:v>0</x:v>
      </x:c>
      <x:c r="G14" s="2"/>
      <x:c r="H14" s="2"/>
      <x:c r="I14" s="2"/>
      <x:c r="J14" s="2"/>
      <x:c r="K14" s="2"/>
      <x:c r="L14" s="2"/>
      <x:c r="M14" s="2"/>
      <x:c r="N14" s="2"/>
      <x:c r="O14" s="2"/>
    </x:row>
    <x:row r="15" ht="27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</x:row>
    <x:row r="16" ht="27" customHeight="1">
      <x:c r="A16" s="2" t="str">
        <x:v>n.a. = missing or inconsistent inputs, not zero completed work.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</x:row>
    <x:row r="17" ht="27" customHeight="1">
      <x:c r="A17" s="2" t="str">
        <x:v>Flow items = Done rows with valid Request &lt;= Start &lt;= Done dates and evidence.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</x:row>
    <x:row r="18" ht="27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  <x:row r="19" ht="27" customHeight="1">
      <x:c r="A19" s="20" t="str">
        <x:v>How to use</x:v>
      </x:c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 ht="27" customHeight="1">
      <x:c r="A20" s="2" t="str">
        <x:v>1. Fill yellow cells in Actual. Keep the Example sheet labelled as simulated.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 ht="27" customHeight="1">
      <x:c r="A21" s="2" t="str">
        <x:v>2. Use Done only after Definition of Done is met; attach a review/checklist reference.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 ht="27" customHeight="1">
      <x:c r="A22" s="2" t="str">
        <x:v>3. Enter status as of Sprint end. A story completed later is Not Done for this sprint.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 ht="27" customHeight="1">
      <x:c r="A23" s="2" t="str">
        <x:v>4. Record dates consistently; blank dates stay unavailable, not zero duration.</x:v>
      </x:c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 ht="27" customHeight="1">
      <x:c r="A24" s="2" t="str">
        <x:v>5. Read Thai explanations, refinement and video outline in docs/week7/README.md.</x:v>
      </x:c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 ht="27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 ht="27" customHeight="1">
      <x:c r="A26" s="2" t="str">
        <x:v>Full figures and 12-item calculations: LAB7-1.md to LAB7-3.md.</x:v>
      </x:c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 ht="27" customHeight="1">
      <x:c r="A27" s="2" t="str">
        <x:v>Story before/after, acceptance criteria and Ready checks: LAB7-4.md.</x:v>
      </x:c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 ht="27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 ht="27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 ht="27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 ht="27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</x:sheetData>
  <x:pageMargins left="0.7" right="0.7" top="0.75" bottom="0.75" header="0.3" footer="0.3"/>
  <x:drawing xmlns:r="http://schemas.openxmlformats.org/officeDocument/2006/relationships" r:id="R283c30f1494f4d1b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9.4399995803833" hidden="0" customWidth="1"/>
    <x:col min="2" max="2" width="9.4399995803833" hidden="0" customWidth="1"/>
    <x:col min="3" max="3" width="25.559999465942383" hidden="0" customWidth="1"/>
    <x:col min="4" max="4" width="7.78000020980835" hidden="0" customWidth="1"/>
    <x:col min="5" max="5" width="13.890000343322754" hidden="0" customWidth="1"/>
    <x:col min="6" max="6" width="11.670000076293945" hidden="0" customWidth="1"/>
    <x:col min="7" max="7" width="11.670000076293945" hidden="0" customWidth="1"/>
    <x:col min="8" max="8" width="11.670000076293945" hidden="0" customWidth="1"/>
    <x:col min="9" max="9" width="11.670000076293945" hidden="0" customWidth="1"/>
    <x:col min="10" max="10" width="8.890000343322754" hidden="0" customWidth="1"/>
    <x:col min="11" max="11" width="16.110000610351562" hidden="0" customWidth="1"/>
    <x:col min="12" max="12" width="20" hidden="0" customWidth="1"/>
    <x:col min="13" max="13" width="11.109999656677246" hidden="0" customWidth="1"/>
    <x:col min="14" max="14" width="10.5600004196167" hidden="0" customWidth="1"/>
    <x:col min="15" max="15" width="10.5600004196167" hidden="0" customWidth="1"/>
    <x:col min="16" max="16" width="10.5600004196167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7" customHeight="1">
      <x:c r="A2" s="3" t="str">
        <x:v>Example sprint data — SIMULATED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7" customHeight="1">
      <x:c r="A3" s="2" t="str">
        <x:v>D0–D5 are illustrative day numbers; each sprint has its own day scale.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7" customHeight="1">
      <x:c r="A4" s="2" t="str">
        <x:v>Source: docs/week6/LAB6-1.md and LAB6-4.md. Example request/start days are additional assumptions.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7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42" customHeight="1">
      <x:c r="A6" s="7" t="str">
        <x:v>Sprint</x:v>
      </x:c>
      <x:c r="B6" s="7" t="str">
        <x:v>ID</x:v>
      </x:c>
      <x:c r="C6" s="7" t="str">
        <x:v>Backlog item</x:v>
      </x:c>
      <x:c r="D6" s="7" t="str">
        <x:v>Points</x:v>
      </x:c>
      <x:c r="E6" s="7" t="str">
        <x:v>Status at end</x:v>
      </x:c>
      <x:c r="F6" s="7" t="str">
        <x:v>Request</x:v>
      </x:c>
      <x:c r="G6" s="7" t="str">
        <x:v>Start</x:v>
      </x:c>
      <x:c r="H6" s="7" t="str">
        <x:v>Done</x:v>
      </x:c>
      <x:c r="I6" s="7" t="str">
        <x:v>Sprint end</x:v>
      </x:c>
      <x:c r="J6" s="7" t="str">
        <x:v>Owner</x:v>
      </x:c>
      <x:c r="K6" s="7" t="str">
        <x:v>Blocker</x:v>
      </x:c>
      <x:c r="L6" s="7" t="str">
        <x:v>Evidence</x:v>
      </x:c>
      <x:c r="M6" s="7" t="str">
        <x:v>Velocity SP</x:v>
      </x:c>
      <x:c r="N6" s="7" t="str">
        <x:v>Lead days</x:v>
      </x:c>
      <x:c r="O6" s="7" t="str">
        <x:v>Cycle days</x:v>
      </x:c>
      <x:c r="P6" s="7" t="str">
        <x:v>Wait days</x:v>
      </x:c>
    </x:row>
    <x:row r="7" ht="43" customHeight="1">
      <x:c r="A7" s="8" t="str">
        <x:v>Todo</x:v>
      </x:c>
      <x:c r="B7" s="8" t="str">
        <x:v>TD-01</x:v>
      </x:c>
      <x:c r="C7" s="13" t="str">
        <x:v>Todo CRUD and completion</x:v>
      </x:c>
      <x:c r="D7" s="10" t="n">
        <x:v>3</x:v>
      </x:c>
      <x:c r="E7" s="8" t="str">
        <x:v>Done</x:v>
      </x:c>
      <x:c r="F7" s="11" t="n">
        <x:v>0</x:v>
      </x:c>
      <x:c r="G7" s="11" t="n">
        <x:v>0</x:v>
      </x:c>
      <x:c r="H7" s="11" t="n">
        <x:v>1</x:v>
      </x:c>
      <x:c r="I7" s="11" t="n">
        <x:v>5</x:v>
      </x:c>
      <x:c r="J7" s="8" t="str">
        <x:v>S1</x:v>
      </x:c>
      <x:c r="K7" s="13" t="str">
        <x:v>None in example</x:v>
      </x:c>
      <x:c r="L7" s="13" t="str">
        <x:v>SIMULATED, not team evidence</x:v>
      </x:c>
      <x:c r="M7" s="12" t="n">
        <x:f>IF(NOT(AND(ISNUMBER(D7),D7&gt;=0,MOD(D7,1)=0,ISNUMBER(I7),L7&lt;&gt;"")),"n.a.",IF(E7="Done",IF(AND(ISNUMBER(H7),H7&lt;=I7),D7,"n.a."),IF(E7="Not Done",IF(OR(H7="",AND(ISNUMBER(H7),H7&gt;I7)),0,"n.a."),"n.a.")))</x:f>
        <x:v>3</x:v>
      </x:c>
      <x:c r="N7" s="12" t="n">
        <x:f>IF(AND(E7="Done",ISNUMBER(M7),COUNT(F7:H7)=3,F7&lt;=G7,G7&lt;=H7),H7-F7,"n.a.")</x:f>
        <x:v>1</x:v>
      </x:c>
      <x:c r="O7" s="12" t="n">
        <x:f>IF(ISNUMBER(N7),H7-G7,"n.a.")</x:f>
        <x:v>1</x:v>
      </x:c>
      <x:c r="P7" s="12" t="n">
        <x:f>IF(ISNUMBER(N7),G7-F7,"n.a.")</x:f>
        <x:v>0</x:v>
      </x:c>
    </x:row>
    <x:row r="8" ht="43" customHeight="1">
      <x:c r="A8" s="8" t="str">
        <x:v>Todo</x:v>
      </x:c>
      <x:c r="B8" s="8" t="str">
        <x:v>TD-02</x:v>
      </x:c>
      <x:c r="C8" s="13" t="str">
        <x:v>Save data per account</x:v>
      </x:c>
      <x:c r="D8" s="10" t="n">
        <x:v>3</x:v>
      </x:c>
      <x:c r="E8" s="8" t="str">
        <x:v>Done</x:v>
      </x:c>
      <x:c r="F8" s="11" t="n">
        <x:v>0</x:v>
      </x:c>
      <x:c r="G8" s="11" t="n">
        <x:v>1</x:v>
      </x:c>
      <x:c r="H8" s="11" t="n">
        <x:v>3</x:v>
      </x:c>
      <x:c r="I8" s="11" t="n">
        <x:v>5</x:v>
      </x:c>
      <x:c r="J8" s="8" t="str">
        <x:v>S1</x:v>
      </x:c>
      <x:c r="K8" s="13" t="str">
        <x:v>Illustrative blocker</x:v>
      </x:c>
      <x:c r="L8" s="13" t="str">
        <x:v>SIMULATED, not team evidence</x:v>
      </x:c>
      <x:c r="M8" s="12" t="n">
        <x:f>IF(NOT(AND(ISNUMBER(D8),D8&gt;=0,MOD(D8,1)=0,ISNUMBER(I8),L8&lt;&gt;"")),"n.a.",IF(E8="Done",IF(AND(ISNUMBER(H8),H8&lt;=I8),D8,"n.a."),IF(E8="Not Done",IF(OR(H8="",AND(ISNUMBER(H8),H8&gt;I8)),0,"n.a."),"n.a.")))</x:f>
        <x:v>3</x:v>
      </x:c>
      <x:c r="N8" s="12" t="n">
        <x:f>IF(AND(E8="Done",ISNUMBER(M8),COUNT(F8:H8)=3,F8&lt;=G8,G8&lt;=H8),H8-F8,"n.a.")</x:f>
        <x:v>3</x:v>
      </x:c>
      <x:c r="O8" s="12" t="n">
        <x:f>IF(ISNUMBER(N8),H8-G8,"n.a.")</x:f>
        <x:v>2</x:v>
      </x:c>
      <x:c r="P8" s="12" t="n">
        <x:f>IF(ISNUMBER(N8),G8-F8,"n.a.")</x:f>
        <x:v>1</x:v>
      </x:c>
    </x:row>
    <x:row r="9" ht="43" customHeight="1">
      <x:c r="A9" s="8" t="str">
        <x:v>Todo</x:v>
      </x:c>
      <x:c r="B9" s="8" t="str">
        <x:v>TD-03</x:v>
      </x:c>
      <x:c r="C9" s="13" t="str">
        <x:v>Demo registration / login</x:v>
      </x:c>
      <x:c r="D9" s="10" t="n">
        <x:v>5</x:v>
      </x:c>
      <x:c r="E9" s="8" t="str">
        <x:v>Done</x:v>
      </x:c>
      <x:c r="F9" s="11" t="n">
        <x:v>0</x:v>
      </x:c>
      <x:c r="G9" s="11" t="n">
        <x:v>1</x:v>
      </x:c>
      <x:c r="H9" s="11" t="n">
        <x:v>3</x:v>
      </x:c>
      <x:c r="I9" s="11" t="n">
        <x:v>5</x:v>
      </x:c>
      <x:c r="J9" s="8" t="str">
        <x:v>S2</x:v>
      </x:c>
      <x:c r="K9" s="13" t="str">
        <x:v>Illustrative blocker</x:v>
      </x:c>
      <x:c r="L9" s="13" t="str">
        <x:v>SIMULATED, not team evidence</x:v>
      </x:c>
      <x:c r="M9" s="12" t="n">
        <x:f>IF(NOT(AND(ISNUMBER(D9),D9&gt;=0,MOD(D9,1)=0,ISNUMBER(I9),L9&lt;&gt;"")),"n.a.",IF(E9="Done",IF(AND(ISNUMBER(H9),H9&lt;=I9),D9,"n.a."),IF(E9="Not Done",IF(OR(H9="",AND(ISNUMBER(H9),H9&gt;I9)),0,"n.a."),"n.a.")))</x:f>
        <x:v>5</x:v>
      </x:c>
      <x:c r="N9" s="12" t="n">
        <x:f>IF(AND(E9="Done",ISNUMBER(M9),COUNT(F9:H9)=3,F9&lt;=G9,G9&lt;=H9),H9-F9,"n.a.")</x:f>
        <x:v>3</x:v>
      </x:c>
      <x:c r="O9" s="12" t="n">
        <x:f>IF(ISNUMBER(N9),H9-G9,"n.a.")</x:f>
        <x:v>2</x:v>
      </x:c>
      <x:c r="P9" s="12" t="n">
        <x:f>IF(ISNUMBER(N9),G9-F9,"n.a.")</x:f>
        <x:v>1</x:v>
      </x:c>
    </x:row>
    <x:row r="10" ht="43" customHeight="1">
      <x:c r="A10" s="8" t="str">
        <x:v>Todo</x:v>
      </x:c>
      <x:c r="B10" s="8" t="str">
        <x:v>TD-04</x:v>
      </x:c>
      <x:c r="C10" s="13" t="str">
        <x:v>Recovery code and session</x:v>
      </x:c>
      <x:c r="D10" s="10" t="n">
        <x:v>5</x:v>
      </x:c>
      <x:c r="E10" s="8" t="str">
        <x:v>Done</x:v>
      </x:c>
      <x:c r="F10" s="11" t="n">
        <x:v>0</x:v>
      </x:c>
      <x:c r="G10" s="11" t="n">
        <x:v>2</x:v>
      </x:c>
      <x:c r="H10" s="11" t="n">
        <x:v>4</x:v>
      </x:c>
      <x:c r="I10" s="11" t="n">
        <x:v>5</x:v>
      </x:c>
      <x:c r="J10" s="8" t="str">
        <x:v>S2</x:v>
      </x:c>
      <x:c r="K10" s="13" t="str">
        <x:v>None in example</x:v>
      </x:c>
      <x:c r="L10" s="13" t="str">
        <x:v>SIMULATED, not team evidence</x:v>
      </x:c>
      <x:c r="M10" s="12" t="n">
        <x:f>IF(NOT(AND(ISNUMBER(D10),D10&gt;=0,MOD(D10,1)=0,ISNUMBER(I10),L10&lt;&gt;"")),"n.a.",IF(E10="Done",IF(AND(ISNUMBER(H10),H10&lt;=I10),D10,"n.a."),IF(E10="Not Done",IF(OR(H10="",AND(ISNUMBER(H10),H10&gt;I10)),0,"n.a."),"n.a.")))</x:f>
        <x:v>5</x:v>
      </x:c>
      <x:c r="N10" s="12" t="n">
        <x:f>IF(AND(E10="Done",ISNUMBER(M10),COUNT(F10:H10)=3,F10&lt;=G10,G10&lt;=H10),H10-F10,"n.a.")</x:f>
        <x:v>4</x:v>
      </x:c>
      <x:c r="O10" s="12" t="n">
        <x:f>IF(ISNUMBER(N10),H10-G10,"n.a.")</x:f>
        <x:v>2</x:v>
      </x:c>
      <x:c r="P10" s="12" t="n">
        <x:f>IF(ISNUMBER(N10),G10-F10,"n.a.")</x:f>
        <x:v>2</x:v>
      </x:c>
    </x:row>
    <x:row r="11" ht="43" customHeight="1">
      <x:c r="A11" s="8" t="str">
        <x:v>Todo</x:v>
      </x:c>
      <x:c r="B11" s="8" t="str">
        <x:v>TD-05</x:v>
      </x:c>
      <x:c r="C11" s="13" t="str">
        <x:v>Theme / font / reset</x:v>
      </x:c>
      <x:c r="D11" s="10" t="n">
        <x:v>3</x:v>
      </x:c>
      <x:c r="E11" s="8" t="str">
        <x:v>Done</x:v>
      </x:c>
      <x:c r="F11" s="11" t="n">
        <x:v>1</x:v>
      </x:c>
      <x:c r="G11" s="11" t="n">
        <x:v>3</x:v>
      </x:c>
      <x:c r="H11" s="11" t="n">
        <x:v>4</x:v>
      </x:c>
      <x:c r="I11" s="11" t="n">
        <x:v>5</x:v>
      </x:c>
      <x:c r="J11" s="8" t="str">
        <x:v>S3</x:v>
      </x:c>
      <x:c r="K11" s="13" t="str">
        <x:v>Illustrative blocker</x:v>
      </x:c>
      <x:c r="L11" s="13" t="str">
        <x:v>SIMULATED, not team evidence</x:v>
      </x:c>
      <x:c r="M11" s="12" t="n">
        <x:f>IF(NOT(AND(ISNUMBER(D11),D11&gt;=0,MOD(D11,1)=0,ISNUMBER(I11),L11&lt;&gt;"")),"n.a.",IF(E11="Done",IF(AND(ISNUMBER(H11),H11&lt;=I11),D11,"n.a."),IF(E11="Not Done",IF(OR(H11="",AND(ISNUMBER(H11),H11&gt;I11)),0,"n.a."),"n.a.")))</x:f>
        <x:v>3</x:v>
      </x:c>
      <x:c r="N11" s="12" t="n">
        <x:f>IF(AND(E11="Done",ISNUMBER(M11),COUNT(F11:H11)=3,F11&lt;=G11,G11&lt;=H11),H11-F11,"n.a.")</x:f>
        <x:v>3</x:v>
      </x:c>
      <x:c r="O11" s="12" t="n">
        <x:f>IF(ISNUMBER(N11),H11-G11,"n.a.")</x:f>
        <x:v>1</x:v>
      </x:c>
      <x:c r="P11" s="12" t="n">
        <x:f>IF(ISNUMBER(N11),G11-F11,"n.a.")</x:f>
        <x:v>2</x:v>
      </x:c>
    </x:row>
    <x:row r="12" ht="43" customHeight="1">
      <x:c r="A12" s="8" t="str">
        <x:v>Todo</x:v>
      </x:c>
      <x:c r="B12" s="8" t="str">
        <x:v>TD-06</x:v>
      </x:c>
      <x:c r="C12" s="13" t="str">
        <x:v>Search and status filter</x:v>
      </x:c>
      <x:c r="D12" s="10" t="n">
        <x:v>3</x:v>
      </x:c>
      <x:c r="E12" s="8" t="str">
        <x:v>Done</x:v>
      </x:c>
      <x:c r="F12" s="11" t="n">
        <x:v>0</x:v>
      </x:c>
      <x:c r="G12" s="11" t="n">
        <x:v>3</x:v>
      </x:c>
      <x:c r="H12" s="11" t="n">
        <x:v>5</x:v>
      </x:c>
      <x:c r="I12" s="11" t="n">
        <x:v>5</x:v>
      </x:c>
      <x:c r="J12" s="8" t="str">
        <x:v>S4</x:v>
      </x:c>
      <x:c r="K12" s="13" t="str">
        <x:v>Illustrative blocker</x:v>
      </x:c>
      <x:c r="L12" s="13" t="str">
        <x:v>SIMULATED, not team evidence</x:v>
      </x:c>
      <x:c r="M12" s="12" t="n">
        <x:f>IF(NOT(AND(ISNUMBER(D12),D12&gt;=0,MOD(D12,1)=0,ISNUMBER(I12),L12&lt;&gt;"")),"n.a.",IF(E12="Done",IF(AND(ISNUMBER(H12),H12&lt;=I12),D12,"n.a."),IF(E12="Not Done",IF(OR(H12="",AND(ISNUMBER(H12),H12&gt;I12)),0,"n.a."),"n.a.")))</x:f>
        <x:v>3</x:v>
      </x:c>
      <x:c r="N12" s="12" t="n">
        <x:f>IF(AND(E12="Done",ISNUMBER(M12),COUNT(F12:H12)=3,F12&lt;=G12,G12&lt;=H12),H12-F12,"n.a.")</x:f>
        <x:v>5</x:v>
      </x:c>
      <x:c r="O12" s="12" t="n">
        <x:f>IF(ISNUMBER(N12),H12-G12,"n.a.")</x:f>
        <x:v>2</x:v>
      </x:c>
      <x:c r="P12" s="12" t="n">
        <x:f>IF(ISNUMBER(N12),G12-F12,"n.a.")</x:f>
        <x:v>3</x:v>
      </x:c>
    </x:row>
    <x:row r="13" ht="43" customHeight="1">
      <x:c r="A13" s="8" t="str">
        <x:v>Todo</x:v>
      </x:c>
      <x:c r="B13" s="8" t="str">
        <x:v>TD-07</x:v>
      </x:c>
      <x:c r="C13" s="13" t="str">
        <x:v>Sort and clear completed</x:v>
      </x:c>
      <x:c r="D13" s="10" t="n">
        <x:v>2</x:v>
      </x:c>
      <x:c r="E13" s="8" t="str">
        <x:v>Done</x:v>
      </x:c>
      <x:c r="F13" s="11" t="n">
        <x:v>1</x:v>
      </x:c>
      <x:c r="G13" s="11" t="n">
        <x:v>4</x:v>
      </x:c>
      <x:c r="H13" s="11" t="n">
        <x:v>5</x:v>
      </x:c>
      <x:c r="I13" s="11" t="n">
        <x:v>5</x:v>
      </x:c>
      <x:c r="J13" s="8" t="str">
        <x:v>S4</x:v>
      </x:c>
      <x:c r="K13" s="13" t="str">
        <x:v>Illustrative blocker</x:v>
      </x:c>
      <x:c r="L13" s="13" t="str">
        <x:v>SIMULATED, not team evidence</x:v>
      </x:c>
      <x:c r="M13" s="12" t="n">
        <x:f>IF(NOT(AND(ISNUMBER(D13),D13&gt;=0,MOD(D13,1)=0,ISNUMBER(I13),L13&lt;&gt;"")),"n.a.",IF(E13="Done",IF(AND(ISNUMBER(H13),H13&lt;=I13),D13,"n.a."),IF(E13="Not Done",IF(OR(H13="",AND(ISNUMBER(H13),H13&gt;I13)),0,"n.a."),"n.a.")))</x:f>
        <x:v>2</x:v>
      </x:c>
      <x:c r="N13" s="12" t="n">
        <x:f>IF(AND(E13="Done",ISNUMBER(M13),COUNT(F13:H13)=3,F13&lt;=G13,G13&lt;=H13),H13-F13,"n.a.")</x:f>
        <x:v>4</x:v>
      </x:c>
      <x:c r="O13" s="12" t="n">
        <x:f>IF(ISNUMBER(N13),H13-G13,"n.a.")</x:f>
        <x:v>1</x:v>
      </x:c>
      <x:c r="P13" s="12" t="n">
        <x:f>IF(ISNUMBER(N13),G13-F13,"n.a.")</x:f>
        <x:v>3</x:v>
      </x:c>
    </x:row>
    <x:row r="14" ht="43" customHeight="1">
      <x:c r="A14" s="8" t="str">
        <x:v>Study</x:v>
      </x:c>
      <x:c r="B14" s="8" t="str">
        <x:v>SP-01</x:v>
      </x:c>
      <x:c r="C14" s="13" t="str">
        <x:v>Subjects and exam dates</x:v>
      </x:c>
      <x:c r="D14" s="10" t="n">
        <x:v>3</x:v>
      </x:c>
      <x:c r="E14" s="8" t="str">
        <x:v>Done</x:v>
      </x:c>
      <x:c r="F14" s="11" t="n">
        <x:v>0</x:v>
      </x:c>
      <x:c r="G14" s="11" t="n">
        <x:v>0</x:v>
      </x:c>
      <x:c r="H14" s="11" t="n">
        <x:v>1</x:v>
      </x:c>
      <x:c r="I14" s="11" t="n">
        <x:v>5</x:v>
      </x:c>
      <x:c r="J14" s="8" t="str">
        <x:v>S1</x:v>
      </x:c>
      <x:c r="K14" s="13" t="str">
        <x:v>None in example</x:v>
      </x:c>
      <x:c r="L14" s="13" t="str">
        <x:v>SIMULATED, not team evidence</x:v>
      </x:c>
      <x:c r="M14" s="12" t="n">
        <x:f>IF(NOT(AND(ISNUMBER(D14),D14&gt;=0,MOD(D14,1)=0,ISNUMBER(I14),L14&lt;&gt;"")),"n.a.",IF(E14="Done",IF(AND(ISNUMBER(H14),H14&lt;=I14),D14,"n.a."),IF(E14="Not Done",IF(OR(H14="",AND(ISNUMBER(H14),H14&gt;I14)),0,"n.a."),"n.a.")))</x:f>
        <x:v>3</x:v>
      </x:c>
      <x:c r="N14" s="12" t="n">
        <x:f>IF(AND(E14="Done",ISNUMBER(M14),COUNT(F14:H14)=3,F14&lt;=G14,G14&lt;=H14),H14-F14,"n.a.")</x:f>
        <x:v>1</x:v>
      </x:c>
      <x:c r="O14" s="12" t="n">
        <x:f>IF(ISNUMBER(N14),H14-G14,"n.a.")</x:f>
        <x:v>1</x:v>
      </x:c>
      <x:c r="P14" s="12" t="n">
        <x:f>IF(ISNUMBER(N14),G14-F14,"n.a.")</x:f>
        <x:v>0</x:v>
      </x:c>
    </x:row>
    <x:row r="15" ht="43" customHeight="1">
      <x:c r="A15" s="8" t="str">
        <x:v>Study</x:v>
      </x:c>
      <x:c r="B15" s="8" t="str">
        <x:v>SP-02</x:v>
      </x:c>
      <x:c r="C15" s="13" t="str">
        <x:v>Study session CRUD</x:v>
      </x:c>
      <x:c r="D15" s="10" t="n">
        <x:v>5</x:v>
      </x:c>
      <x:c r="E15" s="8" t="str">
        <x:v>Done</x:v>
      </x:c>
      <x:c r="F15" s="11" t="n">
        <x:v>0</x:v>
      </x:c>
      <x:c r="G15" s="11" t="n">
        <x:v>1</x:v>
      </x:c>
      <x:c r="H15" s="11" t="n">
        <x:v>3</x:v>
      </x:c>
      <x:c r="I15" s="11" t="n">
        <x:v>5</x:v>
      </x:c>
      <x:c r="J15" s="8" t="str">
        <x:v>S2</x:v>
      </x:c>
      <x:c r="K15" s="13" t="str">
        <x:v>Illustrative blocker</x:v>
      </x:c>
      <x:c r="L15" s="13" t="str">
        <x:v>SIMULATED, not team evidence</x:v>
      </x:c>
      <x:c r="M15" s="12" t="n">
        <x:f>IF(NOT(AND(ISNUMBER(D15),D15&gt;=0,MOD(D15,1)=0,ISNUMBER(I15),L15&lt;&gt;"")),"n.a.",IF(E15="Done",IF(AND(ISNUMBER(H15),H15&lt;=I15),D15,"n.a."),IF(E15="Not Done",IF(OR(H15="",AND(ISNUMBER(H15),H15&gt;I15)),0,"n.a."),"n.a.")))</x:f>
        <x:v>5</x:v>
      </x:c>
      <x:c r="N15" s="12" t="n">
        <x:f>IF(AND(E15="Done",ISNUMBER(M15),COUNT(F15:H15)=3,F15&lt;=G15,G15&lt;=H15),H15-F15,"n.a.")</x:f>
        <x:v>3</x:v>
      </x:c>
      <x:c r="O15" s="12" t="n">
        <x:f>IF(ISNUMBER(N15),H15-G15,"n.a.")</x:f>
        <x:v>2</x:v>
      </x:c>
      <x:c r="P15" s="12" t="n">
        <x:f>IF(ISNUMBER(N15),G15-F15,"n.a.")</x:f>
        <x:v>1</x:v>
      </x:c>
    </x:row>
    <x:row r="16" ht="43" customHeight="1">
      <x:c r="A16" s="8" t="str">
        <x:v>Study</x:v>
      </x:c>
      <x:c r="B16" s="8" t="str">
        <x:v>SP-03</x:v>
      </x:c>
      <x:c r="C16" s="13" t="str">
        <x:v>Completion and time totals</x:v>
      </x:c>
      <x:c r="D16" s="10" t="n">
        <x:v>2</x:v>
      </x:c>
      <x:c r="E16" s="8" t="str">
        <x:v>Done</x:v>
      </x:c>
      <x:c r="F16" s="11" t="n">
        <x:v>0</x:v>
      </x:c>
      <x:c r="G16" s="11" t="n">
        <x:v>2</x:v>
      </x:c>
      <x:c r="H16" s="11" t="n">
        <x:v>4</x:v>
      </x:c>
      <x:c r="I16" s="11" t="n">
        <x:v>5</x:v>
      </x:c>
      <x:c r="J16" s="8" t="str">
        <x:v>S3</x:v>
      </x:c>
      <x:c r="K16" s="13" t="str">
        <x:v>None in example</x:v>
      </x:c>
      <x:c r="L16" s="13" t="str">
        <x:v>SIMULATED, not team evidence</x:v>
      </x:c>
      <x:c r="M16" s="12" t="n">
        <x:f>IF(NOT(AND(ISNUMBER(D16),D16&gt;=0,MOD(D16,1)=0,ISNUMBER(I16),L16&lt;&gt;"")),"n.a.",IF(E16="Done",IF(AND(ISNUMBER(H16),H16&lt;=I16),D16,"n.a."),IF(E16="Not Done",IF(OR(H16="",AND(ISNUMBER(H16),H16&gt;I16)),0,"n.a."),"n.a.")))</x:f>
        <x:v>2</x:v>
      </x:c>
      <x:c r="N16" s="12" t="n">
        <x:f>IF(AND(E16="Done",ISNUMBER(M16),COUNT(F16:H16)=3,F16&lt;=G16,G16&lt;=H16),H16-F16,"n.a.")</x:f>
        <x:v>4</x:v>
      </x:c>
      <x:c r="O16" s="12" t="n">
        <x:f>IF(ISNUMBER(N16),H16-G16,"n.a.")</x:f>
        <x:v>2</x:v>
      </x:c>
      <x:c r="P16" s="12" t="n">
        <x:f>IF(ISNUMBER(N16),G16-F16,"n.a.")</x:f>
        <x:v>2</x:v>
      </x:c>
    </x:row>
    <x:row r="17" ht="43" customHeight="1">
      <x:c r="A17" s="8" t="str">
        <x:v>Study</x:v>
      </x:c>
      <x:c r="B17" s="8" t="str">
        <x:v>SP-04</x:v>
      </x:c>
      <x:c r="C17" s="13" t="str">
        <x:v>Search / filter / date order</x:v>
      </x:c>
      <x:c r="D17" s="10" t="n">
        <x:v>2</x:v>
      </x:c>
      <x:c r="E17" s="8" t="str">
        <x:v>Done</x:v>
      </x:c>
      <x:c r="F17" s="11" t="n">
        <x:v>1</x:v>
      </x:c>
      <x:c r="G17" s="11" t="n">
        <x:v>3</x:v>
      </x:c>
      <x:c r="H17" s="11" t="n">
        <x:v>4</x:v>
      </x:c>
      <x:c r="I17" s="11" t="n">
        <x:v>5</x:v>
      </x:c>
      <x:c r="J17" s="8" t="str">
        <x:v>S3</x:v>
      </x:c>
      <x:c r="K17" s="13" t="str">
        <x:v>Illustrative blocker</x:v>
      </x:c>
      <x:c r="L17" s="13" t="str">
        <x:v>SIMULATED, not team evidence</x:v>
      </x:c>
      <x:c r="M17" s="12" t="n">
        <x:f>IF(NOT(AND(ISNUMBER(D17),D17&gt;=0,MOD(D17,1)=0,ISNUMBER(I17),L17&lt;&gt;"")),"n.a.",IF(E17="Done",IF(AND(ISNUMBER(H17),H17&lt;=I17),D17,"n.a."),IF(E17="Not Done",IF(OR(H17="",AND(ISNUMBER(H17),H17&gt;I17)),0,"n.a."),"n.a.")))</x:f>
        <x:v>2</x:v>
      </x:c>
      <x:c r="N17" s="12" t="n">
        <x:f>IF(AND(E17="Done",ISNUMBER(M17),COUNT(F17:H17)=3,F17&lt;=G17,G17&lt;=H17),H17-F17,"n.a.")</x:f>
        <x:v>3</x:v>
      </x:c>
      <x:c r="O17" s="12" t="n">
        <x:f>IF(ISNUMBER(N17),H17-G17,"n.a.")</x:f>
        <x:v>1</x:v>
      </x:c>
      <x:c r="P17" s="12" t="n">
        <x:f>IF(ISNUMBER(N17),G17-F17,"n.a.")</x:f>
        <x:v>2</x:v>
      </x:c>
    </x:row>
    <x:row r="18" ht="43" customHeight="1">
      <x:c r="A18" s="8" t="str">
        <x:v>Study</x:v>
      </x:c>
      <x:c r="B18" s="8" t="str">
        <x:v>SP-05</x:v>
      </x:c>
      <x:c r="C18" s="13" t="str">
        <x:v>Browser persistence</x:v>
      </x:c>
      <x:c r="D18" s="10" t="n">
        <x:v>3</x:v>
      </x:c>
      <x:c r="E18" s="8" t="str">
        <x:v>Done</x:v>
      </x:c>
      <x:c r="F18" s="11" t="n">
        <x:v>0</x:v>
      </x:c>
      <x:c r="G18" s="11" t="n">
        <x:v>2</x:v>
      </x:c>
      <x:c r="H18" s="11" t="n">
        <x:v>5</x:v>
      </x:c>
      <x:c r="I18" s="11" t="n">
        <x:v>5</x:v>
      </x:c>
      <x:c r="J18" s="8" t="str">
        <x:v>S4</x:v>
      </x:c>
      <x:c r="K18" s="13" t="str">
        <x:v>Illustrative blocker</x:v>
      </x:c>
      <x:c r="L18" s="13" t="str">
        <x:v>SIMULATED, not team evidence</x:v>
      </x:c>
      <x:c r="M18" s="12" t="n">
        <x:f>IF(NOT(AND(ISNUMBER(D18),D18&gt;=0,MOD(D18,1)=0,ISNUMBER(I18),L18&lt;&gt;"")),"n.a.",IF(E18="Done",IF(AND(ISNUMBER(H18),H18&lt;=I18),D18,"n.a."),IF(E18="Not Done",IF(OR(H18="",AND(ISNUMBER(H18),H18&gt;I18)),0,"n.a."),"n.a.")))</x:f>
        <x:v>3</x:v>
      </x:c>
      <x:c r="N18" s="12" t="n">
        <x:f>IF(AND(E18="Done",ISNUMBER(M18),COUNT(F18:H18)=3,F18&lt;=G18,G18&lt;=H18),H18-F18,"n.a.")</x:f>
        <x:v>5</x:v>
      </x:c>
      <x:c r="O18" s="12" t="n">
        <x:f>IF(ISNUMBER(N18),H18-G18,"n.a.")</x:f>
        <x:v>3</x:v>
      </x:c>
      <x:c r="P18" s="12" t="n">
        <x:f>IF(ISNUMBER(N18),G18-F18,"n.a.")</x:f>
        <x:v>2</x:v>
      </x:c>
    </x:row>
    <x:row r="19" ht="27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27" customHeight="1">
      <x:c r="A20" s="2" t="str">
        <x:v>Lead = Done - Request; Cycle = Done - Start; Wait = Start - Request. No inclusive +1.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27" customHeight="1">
      <x:c r="A21" s="2" t="str">
        <x:v>Cycle includes blocked/review time after work starts; it is not hands-on coding time.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27" customHeight="1">
      <x:c r="A22" s="2" t="str">
        <x:v>12 rows are preconfigured. For more items extend formulas, validations and Summary ranges together.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27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</x:sheetData>
  <x:conditionalFormatting sqref="M7:P18">
    <x:cfRule type="containsText" dxfId="0" priority="1" operator="containsText" text="n.a."/>
  </x:conditionalFormatting>
  <x:dataValidations count="2">
    <x:dataValidation type="whole" operator="between" sqref="D7:D18">
      <x:formula1>0</x:formula1>
      <x:formula2>100</x:formula2>
    </x:dataValidation>
    <x:dataValidation type="list" sqref="E7:E18">
      <x:formula1>"Unknown,Done,Not Done"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9.4399995803833" hidden="0" customWidth="1"/>
    <x:col min="2" max="2" width="9.4399995803833" hidden="0" customWidth="1"/>
    <x:col min="3" max="3" width="25.559999465942383" hidden="0" customWidth="1"/>
    <x:col min="4" max="4" width="7.78000020980835" hidden="0" customWidth="1"/>
    <x:col min="5" max="5" width="13.890000343322754" hidden="0" customWidth="1"/>
    <x:col min="6" max="6" width="11.670000076293945" hidden="0" customWidth="1"/>
    <x:col min="7" max="7" width="11.670000076293945" hidden="0" customWidth="1"/>
    <x:col min="8" max="8" width="11.670000076293945" hidden="0" customWidth="1"/>
    <x:col min="9" max="9" width="11.670000076293945" hidden="0" customWidth="1"/>
    <x:col min="10" max="10" width="8.890000343322754" hidden="0" customWidth="1"/>
    <x:col min="11" max="11" width="16.110000610351562" hidden="0" customWidth="1"/>
    <x:col min="12" max="12" width="20" hidden="0" customWidth="1"/>
    <x:col min="13" max="13" width="11.109999656677246" hidden="0" customWidth="1"/>
    <x:col min="14" max="14" width="10.5600004196167" hidden="0" customWidth="1"/>
    <x:col min="15" max="15" width="10.5600004196167" hidden="0" customWidth="1"/>
    <x:col min="16" max="16" width="10.5600004196167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7" customHeight="1">
      <x:c r="A2" s="3" t="str">
        <x:v>Actual sprint data — enter verified evidence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7" customHeight="1">
      <x:c r="A3" s="2" t="str">
        <x:v>Yellow cells are inputs. Unknown is not zero. Dates must be real Excel dates.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7" customHeight="1">
      <x:c r="A4" s="2" t="str">
        <x:v>Source: docs/week6/LAB6-1.md and LAB6-4.md. Example request/start days are additional assumptions.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7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42" customHeight="1">
      <x:c r="A6" s="7" t="str">
        <x:v>Sprint</x:v>
      </x:c>
      <x:c r="B6" s="7" t="str">
        <x:v>ID</x:v>
      </x:c>
      <x:c r="C6" s="7" t="str">
        <x:v>Backlog item</x:v>
      </x:c>
      <x:c r="D6" s="7" t="str">
        <x:v>Points</x:v>
      </x:c>
      <x:c r="E6" s="7" t="str">
        <x:v>Status at end</x:v>
      </x:c>
      <x:c r="F6" s="7" t="str">
        <x:v>Request</x:v>
      </x:c>
      <x:c r="G6" s="7" t="str">
        <x:v>Start</x:v>
      </x:c>
      <x:c r="H6" s="7" t="str">
        <x:v>Done</x:v>
      </x:c>
      <x:c r="I6" s="7" t="str">
        <x:v>Sprint end</x:v>
      </x:c>
      <x:c r="J6" s="7" t="str">
        <x:v>Owner</x:v>
      </x:c>
      <x:c r="K6" s="7" t="str">
        <x:v>Blocker</x:v>
      </x:c>
      <x:c r="L6" s="7" t="str">
        <x:v>Evidence</x:v>
      </x:c>
      <x:c r="M6" s="7" t="str">
        <x:v>Velocity SP</x:v>
      </x:c>
      <x:c r="N6" s="7" t="str">
        <x:v>Lead days</x:v>
      </x:c>
      <x:c r="O6" s="7" t="str">
        <x:v>Cycle days</x:v>
      </x:c>
      <x:c r="P6" s="7" t="str">
        <x:v>Wait days</x:v>
      </x:c>
    </x:row>
    <x:row r="7" ht="43" customHeight="1">
      <x:c r="A7" s="14" t="str">
        <x:v>Todo</x:v>
      </x:c>
      <x:c r="B7" s="14" t="str">
        <x:v>TD-01</x:v>
      </x:c>
      <x:c r="C7" s="17" t="str">
        <x:v>Todo CRUD and completion</x:v>
      </x:c>
      <x:c r="D7" s="15"/>
      <x:c r="E7" s="14" t="str">
        <x:v>Unknown</x:v>
      </x:c>
      <x:c r="F7" s="16"/>
      <x:c r="G7" s="16"/>
      <x:c r="H7" s="16"/>
      <x:c r="I7" s="16"/>
      <x:c r="J7" s="14"/>
      <x:c r="K7" s="17"/>
      <x:c r="L7" s="17"/>
      <x:c r="M7" s="12" t="str">
        <x:f>IF(NOT(AND(ISNUMBER(D7),D7&gt;=0,MOD(D7,1)=0,ISNUMBER(I7),L7&lt;&gt;"")),"n.a.",IF(E7="Done",IF(AND(ISNUMBER(H7),H7&lt;=I7),D7,"n.a."),IF(E7="Not Done",IF(OR(H7="",AND(ISNUMBER(H7),H7&gt;I7)),0,"n.a."),"n.a.")))</x:f>
        <x:v>n.a.</x:v>
      </x:c>
      <x:c r="N7" s="12" t="str">
        <x:f>IF(AND(E7="Done",ISNUMBER(M7),COUNT(F7:H7)=3,F7&lt;=G7,G7&lt;=H7),H7-F7,"n.a.")</x:f>
        <x:v>n.a.</x:v>
      </x:c>
      <x:c r="O7" s="12" t="str">
        <x:f>IF(ISNUMBER(N7),H7-G7,"n.a.")</x:f>
        <x:v>n.a.</x:v>
      </x:c>
      <x:c r="P7" s="12" t="str">
        <x:f>IF(ISNUMBER(N7),G7-F7,"n.a.")</x:f>
        <x:v>n.a.</x:v>
      </x:c>
    </x:row>
    <x:row r="8" ht="43" customHeight="1">
      <x:c r="A8" s="14" t="str">
        <x:v>Todo</x:v>
      </x:c>
      <x:c r="B8" s="14" t="str">
        <x:v>TD-02</x:v>
      </x:c>
      <x:c r="C8" s="17" t="str">
        <x:v>Save data per account</x:v>
      </x:c>
      <x:c r="D8" s="15"/>
      <x:c r="E8" s="14" t="str">
        <x:v>Unknown</x:v>
      </x:c>
      <x:c r="F8" s="16"/>
      <x:c r="G8" s="16"/>
      <x:c r="H8" s="16"/>
      <x:c r="I8" s="16"/>
      <x:c r="J8" s="14"/>
      <x:c r="K8" s="17"/>
      <x:c r="L8" s="17"/>
      <x:c r="M8" s="12" t="str">
        <x:f>IF(NOT(AND(ISNUMBER(D8),D8&gt;=0,MOD(D8,1)=0,ISNUMBER(I8),L8&lt;&gt;"")),"n.a.",IF(E8="Done",IF(AND(ISNUMBER(H8),H8&lt;=I8),D8,"n.a."),IF(E8="Not Done",IF(OR(H8="",AND(ISNUMBER(H8),H8&gt;I8)),0,"n.a."),"n.a.")))</x:f>
        <x:v>n.a.</x:v>
      </x:c>
      <x:c r="N8" s="12" t="str">
        <x:f>IF(AND(E8="Done",ISNUMBER(M8),COUNT(F8:H8)=3,F8&lt;=G8,G8&lt;=H8),H8-F8,"n.a.")</x:f>
        <x:v>n.a.</x:v>
      </x:c>
      <x:c r="O8" s="12" t="str">
        <x:f>IF(ISNUMBER(N8),H8-G8,"n.a.")</x:f>
        <x:v>n.a.</x:v>
      </x:c>
      <x:c r="P8" s="12" t="str">
        <x:f>IF(ISNUMBER(N8),G8-F8,"n.a.")</x:f>
        <x:v>n.a.</x:v>
      </x:c>
    </x:row>
    <x:row r="9" ht="43" customHeight="1">
      <x:c r="A9" s="14" t="str">
        <x:v>Todo</x:v>
      </x:c>
      <x:c r="B9" s="14" t="str">
        <x:v>TD-03</x:v>
      </x:c>
      <x:c r="C9" s="17" t="str">
        <x:v>Demo registration / login</x:v>
      </x:c>
      <x:c r="D9" s="15"/>
      <x:c r="E9" s="14" t="str">
        <x:v>Unknown</x:v>
      </x:c>
      <x:c r="F9" s="16"/>
      <x:c r="G9" s="16"/>
      <x:c r="H9" s="16"/>
      <x:c r="I9" s="16"/>
      <x:c r="J9" s="14"/>
      <x:c r="K9" s="17"/>
      <x:c r="L9" s="17"/>
      <x:c r="M9" s="12" t="str">
        <x:f>IF(NOT(AND(ISNUMBER(D9),D9&gt;=0,MOD(D9,1)=0,ISNUMBER(I9),L9&lt;&gt;"")),"n.a.",IF(E9="Done",IF(AND(ISNUMBER(H9),H9&lt;=I9),D9,"n.a."),IF(E9="Not Done",IF(OR(H9="",AND(ISNUMBER(H9),H9&gt;I9)),0,"n.a."),"n.a.")))</x:f>
        <x:v>n.a.</x:v>
      </x:c>
      <x:c r="N9" s="12" t="str">
        <x:f>IF(AND(E9="Done",ISNUMBER(M9),COUNT(F9:H9)=3,F9&lt;=G9,G9&lt;=H9),H9-F9,"n.a.")</x:f>
        <x:v>n.a.</x:v>
      </x:c>
      <x:c r="O9" s="12" t="str">
        <x:f>IF(ISNUMBER(N9),H9-G9,"n.a.")</x:f>
        <x:v>n.a.</x:v>
      </x:c>
      <x:c r="P9" s="12" t="str">
        <x:f>IF(ISNUMBER(N9),G9-F9,"n.a.")</x:f>
        <x:v>n.a.</x:v>
      </x:c>
    </x:row>
    <x:row r="10" ht="43" customHeight="1">
      <x:c r="A10" s="14" t="str">
        <x:v>Todo</x:v>
      </x:c>
      <x:c r="B10" s="14" t="str">
        <x:v>TD-04</x:v>
      </x:c>
      <x:c r="C10" s="17" t="str">
        <x:v>Recovery code and session</x:v>
      </x:c>
      <x:c r="D10" s="15"/>
      <x:c r="E10" s="14" t="str">
        <x:v>Unknown</x:v>
      </x:c>
      <x:c r="F10" s="16"/>
      <x:c r="G10" s="16"/>
      <x:c r="H10" s="16"/>
      <x:c r="I10" s="16"/>
      <x:c r="J10" s="14"/>
      <x:c r="K10" s="17"/>
      <x:c r="L10" s="17"/>
      <x:c r="M10" s="12" t="str">
        <x:f>IF(NOT(AND(ISNUMBER(D10),D10&gt;=0,MOD(D10,1)=0,ISNUMBER(I10),L10&lt;&gt;"")),"n.a.",IF(E10="Done",IF(AND(ISNUMBER(H10),H10&lt;=I10),D10,"n.a."),IF(E10="Not Done",IF(OR(H10="",AND(ISNUMBER(H10),H10&gt;I10)),0,"n.a."),"n.a.")))</x:f>
        <x:v>n.a.</x:v>
      </x:c>
      <x:c r="N10" s="12" t="str">
        <x:f>IF(AND(E10="Done",ISNUMBER(M10),COUNT(F10:H10)=3,F10&lt;=G10,G10&lt;=H10),H10-F10,"n.a.")</x:f>
        <x:v>n.a.</x:v>
      </x:c>
      <x:c r="O10" s="12" t="str">
        <x:f>IF(ISNUMBER(N10),H10-G10,"n.a.")</x:f>
        <x:v>n.a.</x:v>
      </x:c>
      <x:c r="P10" s="12" t="str">
        <x:f>IF(ISNUMBER(N10),G10-F10,"n.a.")</x:f>
        <x:v>n.a.</x:v>
      </x:c>
    </x:row>
    <x:row r="11" ht="43" customHeight="1">
      <x:c r="A11" s="14" t="str">
        <x:v>Todo</x:v>
      </x:c>
      <x:c r="B11" s="14" t="str">
        <x:v>TD-05</x:v>
      </x:c>
      <x:c r="C11" s="17" t="str">
        <x:v>Theme / font / reset</x:v>
      </x:c>
      <x:c r="D11" s="15"/>
      <x:c r="E11" s="14" t="str">
        <x:v>Unknown</x:v>
      </x:c>
      <x:c r="F11" s="16"/>
      <x:c r="G11" s="16"/>
      <x:c r="H11" s="16"/>
      <x:c r="I11" s="16"/>
      <x:c r="J11" s="14"/>
      <x:c r="K11" s="17"/>
      <x:c r="L11" s="17"/>
      <x:c r="M11" s="12" t="str">
        <x:f>IF(NOT(AND(ISNUMBER(D11),D11&gt;=0,MOD(D11,1)=0,ISNUMBER(I11),L11&lt;&gt;"")),"n.a.",IF(E11="Done",IF(AND(ISNUMBER(H11),H11&lt;=I11),D11,"n.a."),IF(E11="Not Done",IF(OR(H11="",AND(ISNUMBER(H11),H11&gt;I11)),0,"n.a."),"n.a.")))</x:f>
        <x:v>n.a.</x:v>
      </x:c>
      <x:c r="N11" s="12" t="str">
        <x:f>IF(AND(E11="Done",ISNUMBER(M11),COUNT(F11:H11)=3,F11&lt;=G11,G11&lt;=H11),H11-F11,"n.a.")</x:f>
        <x:v>n.a.</x:v>
      </x:c>
      <x:c r="O11" s="12" t="str">
        <x:f>IF(ISNUMBER(N11),H11-G11,"n.a.")</x:f>
        <x:v>n.a.</x:v>
      </x:c>
      <x:c r="P11" s="12" t="str">
        <x:f>IF(ISNUMBER(N11),G11-F11,"n.a.")</x:f>
        <x:v>n.a.</x:v>
      </x:c>
    </x:row>
    <x:row r="12" ht="43" customHeight="1">
      <x:c r="A12" s="14" t="str">
        <x:v>Todo</x:v>
      </x:c>
      <x:c r="B12" s="14" t="str">
        <x:v>TD-06</x:v>
      </x:c>
      <x:c r="C12" s="17" t="str">
        <x:v>Search and status filter</x:v>
      </x:c>
      <x:c r="D12" s="15"/>
      <x:c r="E12" s="14" t="str">
        <x:v>Unknown</x:v>
      </x:c>
      <x:c r="F12" s="16"/>
      <x:c r="G12" s="16"/>
      <x:c r="H12" s="16"/>
      <x:c r="I12" s="16"/>
      <x:c r="J12" s="14"/>
      <x:c r="K12" s="17"/>
      <x:c r="L12" s="17"/>
      <x:c r="M12" s="12" t="str">
        <x:f>IF(NOT(AND(ISNUMBER(D12),D12&gt;=0,MOD(D12,1)=0,ISNUMBER(I12),L12&lt;&gt;"")),"n.a.",IF(E12="Done",IF(AND(ISNUMBER(H12),H12&lt;=I12),D12,"n.a."),IF(E12="Not Done",IF(OR(H12="",AND(ISNUMBER(H12),H12&gt;I12)),0,"n.a."),"n.a.")))</x:f>
        <x:v>n.a.</x:v>
      </x:c>
      <x:c r="N12" s="12" t="str">
        <x:f>IF(AND(E12="Done",ISNUMBER(M12),COUNT(F12:H12)=3,F12&lt;=G12,G12&lt;=H12),H12-F12,"n.a.")</x:f>
        <x:v>n.a.</x:v>
      </x:c>
      <x:c r="O12" s="12" t="str">
        <x:f>IF(ISNUMBER(N12),H12-G12,"n.a.")</x:f>
        <x:v>n.a.</x:v>
      </x:c>
      <x:c r="P12" s="12" t="str">
        <x:f>IF(ISNUMBER(N12),G12-F12,"n.a.")</x:f>
        <x:v>n.a.</x:v>
      </x:c>
    </x:row>
    <x:row r="13" ht="43" customHeight="1">
      <x:c r="A13" s="14" t="str">
        <x:v>Todo</x:v>
      </x:c>
      <x:c r="B13" s="14" t="str">
        <x:v>TD-07</x:v>
      </x:c>
      <x:c r="C13" s="17" t="str">
        <x:v>Sort and clear completed</x:v>
      </x:c>
      <x:c r="D13" s="15"/>
      <x:c r="E13" s="14" t="str">
        <x:v>Unknown</x:v>
      </x:c>
      <x:c r="F13" s="16"/>
      <x:c r="G13" s="16"/>
      <x:c r="H13" s="16"/>
      <x:c r="I13" s="16"/>
      <x:c r="J13" s="14"/>
      <x:c r="K13" s="17"/>
      <x:c r="L13" s="17"/>
      <x:c r="M13" s="12" t="str">
        <x:f>IF(NOT(AND(ISNUMBER(D13),D13&gt;=0,MOD(D13,1)=0,ISNUMBER(I13),L13&lt;&gt;"")),"n.a.",IF(E13="Done",IF(AND(ISNUMBER(H13),H13&lt;=I13),D13,"n.a."),IF(E13="Not Done",IF(OR(H13="",AND(ISNUMBER(H13),H13&gt;I13)),0,"n.a."),"n.a.")))</x:f>
        <x:v>n.a.</x:v>
      </x:c>
      <x:c r="N13" s="12" t="str">
        <x:f>IF(AND(E13="Done",ISNUMBER(M13),COUNT(F13:H13)=3,F13&lt;=G13,G13&lt;=H13),H13-F13,"n.a.")</x:f>
        <x:v>n.a.</x:v>
      </x:c>
      <x:c r="O13" s="12" t="str">
        <x:f>IF(ISNUMBER(N13),H13-G13,"n.a.")</x:f>
        <x:v>n.a.</x:v>
      </x:c>
      <x:c r="P13" s="12" t="str">
        <x:f>IF(ISNUMBER(N13),G13-F13,"n.a.")</x:f>
        <x:v>n.a.</x:v>
      </x:c>
    </x:row>
    <x:row r="14" ht="43" customHeight="1">
      <x:c r="A14" s="14" t="str">
        <x:v>Study</x:v>
      </x:c>
      <x:c r="B14" s="14" t="str">
        <x:v>SP-01</x:v>
      </x:c>
      <x:c r="C14" s="17" t="str">
        <x:v>Subjects and exam dates</x:v>
      </x:c>
      <x:c r="D14" s="15"/>
      <x:c r="E14" s="14" t="str">
        <x:v>Unknown</x:v>
      </x:c>
      <x:c r="F14" s="16"/>
      <x:c r="G14" s="16"/>
      <x:c r="H14" s="16"/>
      <x:c r="I14" s="16"/>
      <x:c r="J14" s="14"/>
      <x:c r="K14" s="17"/>
      <x:c r="L14" s="17"/>
      <x:c r="M14" s="12" t="str">
        <x:f>IF(NOT(AND(ISNUMBER(D14),D14&gt;=0,MOD(D14,1)=0,ISNUMBER(I14),L14&lt;&gt;"")),"n.a.",IF(E14="Done",IF(AND(ISNUMBER(H14),H14&lt;=I14),D14,"n.a."),IF(E14="Not Done",IF(OR(H14="",AND(ISNUMBER(H14),H14&gt;I14)),0,"n.a."),"n.a.")))</x:f>
        <x:v>n.a.</x:v>
      </x:c>
      <x:c r="N14" s="12" t="str">
        <x:f>IF(AND(E14="Done",ISNUMBER(M14),COUNT(F14:H14)=3,F14&lt;=G14,G14&lt;=H14),H14-F14,"n.a.")</x:f>
        <x:v>n.a.</x:v>
      </x:c>
      <x:c r="O14" s="12" t="str">
        <x:f>IF(ISNUMBER(N14),H14-G14,"n.a.")</x:f>
        <x:v>n.a.</x:v>
      </x:c>
      <x:c r="P14" s="12" t="str">
        <x:f>IF(ISNUMBER(N14),G14-F14,"n.a.")</x:f>
        <x:v>n.a.</x:v>
      </x:c>
    </x:row>
    <x:row r="15" ht="43" customHeight="1">
      <x:c r="A15" s="14" t="str">
        <x:v>Study</x:v>
      </x:c>
      <x:c r="B15" s="14" t="str">
        <x:v>SP-02</x:v>
      </x:c>
      <x:c r="C15" s="17" t="str">
        <x:v>Study session CRUD</x:v>
      </x:c>
      <x:c r="D15" s="15"/>
      <x:c r="E15" s="14" t="str">
        <x:v>Unknown</x:v>
      </x:c>
      <x:c r="F15" s="16"/>
      <x:c r="G15" s="16"/>
      <x:c r="H15" s="16"/>
      <x:c r="I15" s="16"/>
      <x:c r="J15" s="14"/>
      <x:c r="K15" s="17"/>
      <x:c r="L15" s="17"/>
      <x:c r="M15" s="12" t="str">
        <x:f>IF(NOT(AND(ISNUMBER(D15),D15&gt;=0,MOD(D15,1)=0,ISNUMBER(I15),L15&lt;&gt;"")),"n.a.",IF(E15="Done",IF(AND(ISNUMBER(H15),H15&lt;=I15),D15,"n.a."),IF(E15="Not Done",IF(OR(H15="",AND(ISNUMBER(H15),H15&gt;I15)),0,"n.a."),"n.a.")))</x:f>
        <x:v>n.a.</x:v>
      </x:c>
      <x:c r="N15" s="12" t="str">
        <x:f>IF(AND(E15="Done",ISNUMBER(M15),COUNT(F15:H15)=3,F15&lt;=G15,G15&lt;=H15),H15-F15,"n.a.")</x:f>
        <x:v>n.a.</x:v>
      </x:c>
      <x:c r="O15" s="12" t="str">
        <x:f>IF(ISNUMBER(N15),H15-G15,"n.a.")</x:f>
        <x:v>n.a.</x:v>
      </x:c>
      <x:c r="P15" s="12" t="str">
        <x:f>IF(ISNUMBER(N15),G15-F15,"n.a.")</x:f>
        <x:v>n.a.</x:v>
      </x:c>
    </x:row>
    <x:row r="16" ht="43" customHeight="1">
      <x:c r="A16" s="14" t="str">
        <x:v>Study</x:v>
      </x:c>
      <x:c r="B16" s="14" t="str">
        <x:v>SP-03</x:v>
      </x:c>
      <x:c r="C16" s="17" t="str">
        <x:v>Completion and time totals</x:v>
      </x:c>
      <x:c r="D16" s="15"/>
      <x:c r="E16" s="14" t="str">
        <x:v>Unknown</x:v>
      </x:c>
      <x:c r="F16" s="16"/>
      <x:c r="G16" s="16"/>
      <x:c r="H16" s="16"/>
      <x:c r="I16" s="16"/>
      <x:c r="J16" s="14"/>
      <x:c r="K16" s="17"/>
      <x:c r="L16" s="17"/>
      <x:c r="M16" s="12" t="str">
        <x:f>IF(NOT(AND(ISNUMBER(D16),D16&gt;=0,MOD(D16,1)=0,ISNUMBER(I16),L16&lt;&gt;"")),"n.a.",IF(E16="Done",IF(AND(ISNUMBER(H16),H16&lt;=I16),D16,"n.a."),IF(E16="Not Done",IF(OR(H16="",AND(ISNUMBER(H16),H16&gt;I16)),0,"n.a."),"n.a.")))</x:f>
        <x:v>n.a.</x:v>
      </x:c>
      <x:c r="N16" s="12" t="str">
        <x:f>IF(AND(E16="Done",ISNUMBER(M16),COUNT(F16:H16)=3,F16&lt;=G16,G16&lt;=H16),H16-F16,"n.a.")</x:f>
        <x:v>n.a.</x:v>
      </x:c>
      <x:c r="O16" s="12" t="str">
        <x:f>IF(ISNUMBER(N16),H16-G16,"n.a.")</x:f>
        <x:v>n.a.</x:v>
      </x:c>
      <x:c r="P16" s="12" t="str">
        <x:f>IF(ISNUMBER(N16),G16-F16,"n.a.")</x:f>
        <x:v>n.a.</x:v>
      </x:c>
    </x:row>
    <x:row r="17" ht="43" customHeight="1">
      <x:c r="A17" s="14" t="str">
        <x:v>Study</x:v>
      </x:c>
      <x:c r="B17" s="14" t="str">
        <x:v>SP-04</x:v>
      </x:c>
      <x:c r="C17" s="17" t="str">
        <x:v>Search / filter / date order</x:v>
      </x:c>
      <x:c r="D17" s="15"/>
      <x:c r="E17" s="14" t="str">
        <x:v>Unknown</x:v>
      </x:c>
      <x:c r="F17" s="16"/>
      <x:c r="G17" s="16"/>
      <x:c r="H17" s="16"/>
      <x:c r="I17" s="16"/>
      <x:c r="J17" s="14"/>
      <x:c r="K17" s="17"/>
      <x:c r="L17" s="17"/>
      <x:c r="M17" s="12" t="str">
        <x:f>IF(NOT(AND(ISNUMBER(D17),D17&gt;=0,MOD(D17,1)=0,ISNUMBER(I17),L17&lt;&gt;"")),"n.a.",IF(E17="Done",IF(AND(ISNUMBER(H17),H17&lt;=I17),D17,"n.a."),IF(E17="Not Done",IF(OR(H17="",AND(ISNUMBER(H17),H17&gt;I17)),0,"n.a."),"n.a.")))</x:f>
        <x:v>n.a.</x:v>
      </x:c>
      <x:c r="N17" s="12" t="str">
        <x:f>IF(AND(E17="Done",ISNUMBER(M17),COUNT(F17:H17)=3,F17&lt;=G17,G17&lt;=H17),H17-F17,"n.a.")</x:f>
        <x:v>n.a.</x:v>
      </x:c>
      <x:c r="O17" s="12" t="str">
        <x:f>IF(ISNUMBER(N17),H17-G17,"n.a.")</x:f>
        <x:v>n.a.</x:v>
      </x:c>
      <x:c r="P17" s="12" t="str">
        <x:f>IF(ISNUMBER(N17),G17-F17,"n.a.")</x:f>
        <x:v>n.a.</x:v>
      </x:c>
    </x:row>
    <x:row r="18" ht="43" customHeight="1">
      <x:c r="A18" s="14" t="str">
        <x:v>Study</x:v>
      </x:c>
      <x:c r="B18" s="14" t="str">
        <x:v>SP-05</x:v>
      </x:c>
      <x:c r="C18" s="17" t="str">
        <x:v>Browser persistence</x:v>
      </x:c>
      <x:c r="D18" s="15"/>
      <x:c r="E18" s="14" t="str">
        <x:v>Unknown</x:v>
      </x:c>
      <x:c r="F18" s="16"/>
      <x:c r="G18" s="16"/>
      <x:c r="H18" s="16"/>
      <x:c r="I18" s="16"/>
      <x:c r="J18" s="14"/>
      <x:c r="K18" s="17"/>
      <x:c r="L18" s="17"/>
      <x:c r="M18" s="12" t="str">
        <x:f>IF(NOT(AND(ISNUMBER(D18),D18&gt;=0,MOD(D18,1)=0,ISNUMBER(I18),L18&lt;&gt;"")),"n.a.",IF(E18="Done",IF(AND(ISNUMBER(H18),H18&lt;=I18),D18,"n.a."),IF(E18="Not Done",IF(OR(H18="",AND(ISNUMBER(H18),H18&gt;I18)),0,"n.a."),"n.a.")))</x:f>
        <x:v>n.a.</x:v>
      </x:c>
      <x:c r="N18" s="12" t="str">
        <x:f>IF(AND(E18="Done",ISNUMBER(M18),COUNT(F18:H18)=3,F18&lt;=G18,G18&lt;=H18),H18-F18,"n.a.")</x:f>
        <x:v>n.a.</x:v>
      </x:c>
      <x:c r="O18" s="12" t="str">
        <x:f>IF(ISNUMBER(N18),H18-G18,"n.a.")</x:f>
        <x:v>n.a.</x:v>
      </x:c>
      <x:c r="P18" s="12" t="str">
        <x:f>IF(ISNUMBER(N18),G18-F18,"n.a.")</x:f>
        <x:v>n.a.</x:v>
      </x:c>
    </x:row>
    <x:row r="19" ht="27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27" customHeight="1">
      <x:c r="A20" s="2" t="str">
        <x:v>Lead = Done - Request; Cycle = Done - Start; Wait = Start - Request. No inclusive +1.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27" customHeight="1">
      <x:c r="A21" s="2" t="str">
        <x:v>Cycle includes blocked/review time after work starts; it is not hands-on coding time.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27" customHeight="1">
      <x:c r="A22" s="2" t="str">
        <x:v>12 rows are preconfigured. For more items extend formulas, validations and Summary ranges together.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27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</x:sheetData>
  <x:conditionalFormatting sqref="M7:P18">
    <x:cfRule type="containsText" dxfId="1" priority="1" operator="containsText" text="n.a."/>
  </x:conditionalFormatting>
  <x:dataValidations count="2">
    <x:dataValidation type="whole" operator="between" sqref="D7:D18">
      <x:formula1>0</x:formula1>
      <x:formula2>100</x:formula2>
    </x:dataValidation>
    <x:dataValidation type="list" sqref="E7:E18">
      <x:formula1>"Unknown,Done,Not Done"</x:formula1>
    </x:dataValidation>
  </x:dataValidations>
  <x:pageMargins left="0.7" right="0.7" top="0.75" bottom="0.75" header="0.3" footer="0.3"/>
</x:worksheet>
</file>